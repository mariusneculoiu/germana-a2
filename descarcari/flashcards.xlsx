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uni" sheetId="1" state="visible" r:id="rId3"/>
    <sheet name="Flashcards" sheetId="2" state="visible" r:id="rId4"/>
    <sheet name="Progres" sheetId="3" state="visible" r:id="rId5"/>
    <sheet name="Gramatica" sheetId="4" state="visible" r:id="rId6"/>
    <sheet name="Plan_Studiu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<sst xmlns="http://schemas.openxmlformats.org/spreadsheetml/2006/main" count="198" uniqueCount="164">
  <si>
    <t xml:space="preserve">Cum folosesti acest fisier</t>
  </si>
  <si>
    <t xml:space="preserve">Tab</t>
  </si>
  <si>
    <t xml:space="preserve">Pentru ce e</t>
  </si>
  <si>
    <t xml:space="preserve">Flashcards</t>
  </si>
  <si>
    <t xml:space="preserve">Lista completa de fraze. Coloana 'Stiut?' este interactiva: pune 1 (stiu), 2 (mediu), 0 (de repetat). Culoarea celulei se schimba automat.</t>
  </si>
  <si>
    <t xml:space="preserve">Progres</t>
  </si>
  <si>
    <t xml:space="preserve">Statistici automate -- vezi cate fraze stii din total, pe categorii.</t>
  </si>
  <si>
    <t xml:space="preserve">Gramatica</t>
  </si>
  <si>
    <t xml:space="preserve">Tabel rapid cu toate conjuctiile si pronumele relative. Cu regula de aur.</t>
  </si>
  <si>
    <t xml:space="preserve">Plan_Studiu</t>
  </si>
  <si>
    <t xml:space="preserve">Plan de 7 zile pentru a invata frazele cu repetitie spatiala.</t>
  </si>
  <si>
    <t xml:space="preserve">Sfat</t>
  </si>
  <si>
    <t xml:space="preserve">Deschide acelasi fisier in fiecare zi, actualizeaza coloana 'Stiut?' si vezi progresul in tabul 'Progres'.</t>
  </si>
  <si>
    <t xml:space="preserve">#</t>
  </si>
  <si>
    <t xml:space="preserve">Categorie</t>
  </si>
  <si>
    <t xml:space="preserve">Tema (DE)</t>
  </si>
  <si>
    <t xml:space="preserve">Fraza in germana</t>
  </si>
  <si>
    <t xml:space="preserve">Traducere romana</t>
  </si>
  <si>
    <t xml:space="preserve">Cuvant cheie</t>
  </si>
  <si>
    <t xml:space="preserve">Nota gramatica</t>
  </si>
  <si>
    <t xml:space="preserve">Stiut? (1=da, 0=nu, 2=mediu)</t>
  </si>
  <si>
    <t xml:space="preserve">Repetari</t>
  </si>
  <si>
    <t xml:space="preserve">Ultima data</t>
  </si>
  <si>
    <t xml:space="preserve">Nume</t>
  </si>
  <si>
    <t xml:space="preserve">Wie ist Ihr Name?</t>
  </si>
  <si>
    <t xml:space="preserve">Ich heisse Maria und ich komme aus Rumanien, weil ich dort geboren bin.</t>
  </si>
  <si>
    <t xml:space="preserve">Ma numesc Maria si vin din Romania deoarece m-am nascut acolo.</t>
  </si>
  <si>
    <t xml:space="preserve">weil</t>
  </si>
  <si>
    <t xml:space="preserve">verbul 'bin' la sfarsitul propozitiei secundare</t>
  </si>
  <si>
    <t xml:space="preserve">Wie heissen Sie und woher kommen Sie?</t>
  </si>
  <si>
    <t xml:space="preserve">Cum va numiti si de unde veniti?</t>
  </si>
  <si>
    <t xml:space="preserve">Sie (formal)</t>
  </si>
  <si>
    <t xml:space="preserve">intrebare formala -- Sie + verb la persoana a 3-a plural</t>
  </si>
  <si>
    <t xml:space="preserve">Documente</t>
  </si>
  <si>
    <t xml:space="preserve">Personalien &amp; Dokumente</t>
  </si>
  <si>
    <t xml:space="preserve">Ich muss meine Daten angeben, wenn ich ein Formular ausfulle.</t>
  </si>
  <si>
    <t xml:space="preserve">Trebuie sa imi dau datele atunci cand completez un formular.</t>
  </si>
  <si>
    <t xml:space="preserve">wenn</t>
  </si>
  <si>
    <t xml:space="preserve">wenn = cand/daca; verbul 'ausfulle' la sfarsit</t>
  </si>
  <si>
    <t xml:space="preserve">Ich brauche meinen Ausweis, damit ich mich identifizieren kann.</t>
  </si>
  <si>
    <t xml:space="preserve">Am nevoie de buletin/pasaport pentru a ma putea identifica.</t>
  </si>
  <si>
    <t xml:space="preserve">damit</t>
  </si>
  <si>
    <t xml:space="preserve">damit = ca sa; verb modal 'kann' la sfarsit</t>
  </si>
  <si>
    <t xml:space="preserve">Persoana</t>
  </si>
  <si>
    <t xml:space="preserve">Angaben zur Person</t>
  </si>
  <si>
    <t xml:space="preserve">Ich bin 30 Jahre alt und arbeite als Arzt, weil ich Menschen helfen mochte.</t>
  </si>
  <si>
    <t xml:space="preserve">Am 30 de ani si lucrez ca medic deoarece vreau sa ajut oamenii.</t>
  </si>
  <si>
    <t xml:space="preserve">weil + modal</t>
  </si>
  <si>
    <t xml:space="preserve">weil + verb modal 'mochte' la sfarsit; helfen = a ajuta (+ Dat.)</t>
  </si>
  <si>
    <t xml:space="preserve">Ich wohne in einer Stadt, die sehr ruhig ist.</t>
  </si>
  <si>
    <t xml:space="preserve">Locuiesc intr-un oras care este foarte linistit.</t>
  </si>
  <si>
    <t xml:space="preserve">die (relativ)</t>
  </si>
  <si>
    <t xml:space="preserve">die Stadt e feminin in germana; pronume relativ feminin nominativ</t>
  </si>
  <si>
    <t xml:space="preserve">Familie</t>
  </si>
  <si>
    <t xml:space="preserve">Ich habe eine kleine Familie, weil wir nur zu dritt sind.</t>
  </si>
  <si>
    <t xml:space="preserve">Am o familie mica deoarece suntem doar trei persoane.</t>
  </si>
  <si>
    <t xml:space="preserve">zu dritt = in trei; weil + verb la sfarsit</t>
  </si>
  <si>
    <t xml:space="preserve">Am Wochenende besuchen wir unsere Eltern, wenn wir Zeit haben.</t>
  </si>
  <si>
    <t xml:space="preserve">In weekend ne vizitam parintii daca avem timp.</t>
  </si>
  <si>
    <t xml:space="preserve">Am Wochenende = la sfarsit de saptamana (locativ)</t>
  </si>
  <si>
    <t xml:space="preserve">Rude</t>
  </si>
  <si>
    <t xml:space="preserve">Verwandte</t>
  </si>
  <si>
    <t xml:space="preserve">Meine Eltern wohnen auf dem Land, wo es sehr ruhig ist.</t>
  </si>
  <si>
    <t xml:space="preserve">Parintii mei locuiesc la tara unde este foarte liniste.</t>
  </si>
  <si>
    <t xml:space="preserve">wo</t>
  </si>
  <si>
    <t xml:space="preserve">wo = unde (loc); auf dem Land = la tara (Dativ)</t>
  </si>
  <si>
    <t xml:space="preserve">Ich habe einen Bruder, der in Deutschland arbeitet.</t>
  </si>
  <si>
    <t xml:space="preserve">Am un frate care lucreaza in Germania.</t>
  </si>
  <si>
    <t xml:space="preserve">der (relativ)</t>
  </si>
  <si>
    <t xml:space="preserve">der = pronume relativ masculin nominativ (frate)</t>
  </si>
  <si>
    <t xml:space="preserve">Aspect</t>
  </si>
  <si>
    <t xml:space="preserve">Aussehen</t>
  </si>
  <si>
    <t xml:space="preserve">Er ist gross und hat dunkle Haare, die sehr kurz sind.</t>
  </si>
  <si>
    <t xml:space="preserve">El este inalt si are par inchis la culoare care este foarte scurt.</t>
  </si>
  <si>
    <t xml:space="preserve">die (plural)</t>
  </si>
  <si>
    <t xml:space="preserve">Haare e plural, deci 'die' (pronume relativ plural)</t>
  </si>
  <si>
    <t xml:space="preserve">Sie tragt oft elegante Kleidung, weil sie im Buro arbeitet.</t>
  </si>
  <si>
    <t xml:space="preserve">Ea poarta des haine elegante deoarece lucreaza la birou.</t>
  </si>
  <si>
    <t xml:space="preserve">tragen -&gt; tragt (3rd p. sg.); im Buro = la birou (in + Dat.)</t>
  </si>
  <si>
    <t xml:space="preserve">Caracter</t>
  </si>
  <si>
    <t xml:space="preserve">Charakter</t>
  </si>
  <si>
    <t xml:space="preserve">Er ist freundlich, obwohl er manchmal sehr ruhig ist.</t>
  </si>
  <si>
    <t xml:space="preserve">El este prietenos, desi uneori este foarte tacut.</t>
  </si>
  <si>
    <t xml:space="preserve">obwohl</t>
  </si>
  <si>
    <t xml:space="preserve">obwohl = desi; verbul 'ist' la sfarsit</t>
  </si>
  <si>
    <t xml:space="preserve">Ich mag Menschen, die ehrlich und hilfsbereit sind.</t>
  </si>
  <si>
    <t xml:space="preserve">Imi plac oamenii care sunt sinceri si saritori.</t>
  </si>
  <si>
    <t xml:space="preserve">die = pronume relativ plural (Menschen e plural)</t>
  </si>
  <si>
    <t xml:space="preserve">Statistici de invatare</t>
  </si>
  <si>
    <t xml:space="preserve">Total fraze</t>
  </si>
  <si>
    <t xml:space="preserve">Fraze stiute (1)</t>
  </si>
  <si>
    <t xml:space="preserve">Fraze medii (2)</t>
  </si>
  <si>
    <t xml:space="preserve">Fraze de repetat (0)</t>
  </si>
  <si>
    <t xml:space="preserve">Procent stiute</t>
  </si>
  <si>
    <t xml:space="preserve">Total repetari</t>
  </si>
  <si>
    <t xml:space="preserve">Pe categorii</t>
  </si>
  <si>
    <t xml:space="preserve">Total</t>
  </si>
  <si>
    <t xml:space="preserve">Stiute</t>
  </si>
  <si>
    <t xml:space="preserve">Procent</t>
  </si>
  <si>
    <t xml:space="preserve">Conjuctii subordonante &amp; propozitii relative -- Referinta rapida</t>
  </si>
  <si>
    <t xml:space="preserve">Cuvant</t>
  </si>
  <si>
    <t xml:space="preserve">Traducere</t>
  </si>
  <si>
    <t xml:space="preserve">Tip</t>
  </si>
  <si>
    <t xml:space="preserve">Regula</t>
  </si>
  <si>
    <t xml:space="preserve">deoarece, pentru ca</t>
  </si>
  <si>
    <t xml:space="preserve">Cauza</t>
  </si>
  <si>
    <t xml:space="preserve">Verbul conjugat la sfarsitul propozitiei secundare.</t>
  </si>
  <si>
    <t xml:space="preserve">daca, atunci cand</t>
  </si>
  <si>
    <t xml:space="preserve">Conditie/Timp</t>
  </si>
  <si>
    <t xml:space="preserve">Verbul la sfarsit. Pentru conditii reale sau actiuni repetate.</t>
  </si>
  <si>
    <t xml:space="preserve">ca sa, pentru ca</t>
  </si>
  <si>
    <t xml:space="preserve">Scop</t>
  </si>
  <si>
    <t xml:space="preserve">Verbul la sfarsit. Folosit cand subiectele difera, sau cu modal.</t>
  </si>
  <si>
    <t xml:space="preserve">desi, cu toate ca</t>
  </si>
  <si>
    <t xml:space="preserve">Concesie</t>
  </si>
  <si>
    <t xml:space="preserve">Verbul la sfarsit. Exprima un contrast/contradictie.</t>
  </si>
  <si>
    <t xml:space="preserve">der</t>
  </si>
  <si>
    <t xml:space="preserve">care (m.)</t>
  </si>
  <si>
    <t xml:space="preserve">Pronume relativ</t>
  </si>
  <si>
    <t xml:space="preserve">Pentru substantive masculine la nominativ. Verb la sfarsit.</t>
  </si>
  <si>
    <t xml:space="preserve">die</t>
  </si>
  <si>
    <t xml:space="preserve">care (f./pl.)</t>
  </si>
  <si>
    <t xml:space="preserve">Pentru subst. feminine la nom. sau orice plural. Verb la sfarsit.</t>
  </si>
  <si>
    <t xml:space="preserve">das</t>
  </si>
  <si>
    <t xml:space="preserve">care (n.)</t>
  </si>
  <si>
    <t xml:space="preserve">Pentru substantive neutre la nominativ. Verb la sfarsit.</t>
  </si>
  <si>
    <t xml:space="preserve">unde</t>
  </si>
  <si>
    <t xml:space="preserve">Adverb relativ</t>
  </si>
  <si>
    <t xml:space="preserve">Pentru locuri. Verb la sfarsit.</t>
  </si>
  <si>
    <t xml:space="preserve">zu dritt</t>
  </si>
  <si>
    <t xml:space="preserve">in trei</t>
  </si>
  <si>
    <t xml:space="preserve">Expresie</t>
  </si>
  <si>
    <t xml:space="preserve">zu zweit/dritt/viert = in 2/3/4 (oameni).</t>
  </si>
  <si>
    <t xml:space="preserve">Sie</t>
  </si>
  <si>
    <t xml:space="preserve">dvs. (politete)</t>
  </si>
  <si>
    <t xml:space="preserve">Pronume</t>
  </si>
  <si>
    <t xml:space="preserve">Forma de politete -- verb la persoana a 3-a plural.</t>
  </si>
  <si>
    <t xml:space="preserve">REGULA DE AUR:</t>
  </si>
  <si>
    <t xml:space="preserve">In TOATE propozitiile secundare introduse prin weil, wenn, damit, obwohl, der/die/das, wo -- VERBUL CONJUGAT MERGE LA SFARSITUL PROPOZITIEI.</t>
  </si>
  <si>
    <t xml:space="preserve">Plan de studiu pe 7 zile -- repetitie spatiala</t>
  </si>
  <si>
    <t xml:space="preserve">Ziua</t>
  </si>
  <si>
    <t xml:space="preserve">Activitate</t>
  </si>
  <si>
    <t xml:space="preserve">Fraze de focusat</t>
  </si>
  <si>
    <t xml:space="preserve">Ziua 1</t>
  </si>
  <si>
    <t xml:space="preserve">Citeste toate frazele cu atentie. Subliniaza conjuctiile.</t>
  </si>
  <si>
    <t xml:space="preserve">1-14 (toate)</t>
  </si>
  <si>
    <t xml:space="preserve">Ziua 2</t>
  </si>
  <si>
    <t xml:space="preserve">Flashcards DE -&gt; RO. Marcheaza ce stii vs ce nu.</t>
  </si>
  <si>
    <t xml:space="preserve">1-7 (Nume, Documente, Persoana, Familie)</t>
  </si>
  <si>
    <t xml:space="preserve">Ziua 3</t>
  </si>
  <si>
    <t xml:space="preserve">Flashcards DE -&gt; RO continuare + repetare ziua 2.</t>
  </si>
  <si>
    <t xml:space="preserve">8-14 (Familie, Rude, Aspect, Caracter)</t>
  </si>
  <si>
    <t xml:space="preserve">Ziua 4</t>
  </si>
  <si>
    <t xml:space="preserve">Quiz multiple choice. Recapitulare conjuctii.</t>
  </si>
  <si>
    <t xml:space="preserve">Frazele marcate 0 sau 2</t>
  </si>
  <si>
    <t xml:space="preserve">Ziua 5</t>
  </si>
  <si>
    <t xml:space="preserve">Fill-in-the-blank. Concentrare pe weil/wenn/damit/obwohl.</t>
  </si>
  <si>
    <t xml:space="preserve">Frazele cu conjuctii dificile</t>
  </si>
  <si>
    <t xml:space="preserve">Ziua 6</t>
  </si>
  <si>
    <t xml:space="preserve">Flashcards RO -&gt; DE (mai dificil!).</t>
  </si>
  <si>
    <t xml:space="preserve">Toate -- mai ales cele marcate 1</t>
  </si>
  <si>
    <t xml:space="preserve">Ziua 7</t>
  </si>
  <si>
    <t xml:space="preserve">Test final mixt. Scrie 3 fraze proprii pe model.</t>
  </si>
  <si>
    <t xml:space="preserve">1-14 + propriile fraze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</si>
</sst>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3C7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1E3C7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1E3C72"/>
      <name val="Arial"/>
      <family val="0"/>
      <charset val="1"/>
    </font>
    <font>
      <b val="true"/>
      <sz val="12"/>
      <color rgb="FF1E3A8A"/>
      <name val="Arial"/>
      <family val="0"/>
      <charset val="1"/>
    </font>
    <font>
      <i val="true"/>
      <sz val="11"/>
      <color rgb="FF1E3A8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5298"/>
        <bgColor rgb="FF1E3A8A"/>
      </patternFill>
    </fill>
    <fill>
      <patternFill patternType="solid">
        <fgColor rgb="FFF6F9FC"/>
        <bgColor rgb="FFFFFFFF"/>
      </patternFill>
    </fill>
    <fill>
      <patternFill patternType="solid">
        <fgColor rgb="FFDBEAFE"/>
        <bgColor rgb="FFD1FAE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1FAE5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BEAFE"/>
      <rgbColor rgb="FF660066"/>
      <rgbColor rgb="FFFF8080"/>
      <rgbColor rgb="FF2A5298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6F9FC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3C72"/>
      <rgbColor rgb="FF339966"/>
      <rgbColor rgb="FF003300"/>
      <rgbColor rgb="FF333300"/>
      <rgbColor rgb="FF993300"/>
      <rgbColor rgb="FF993366"/>
      <rgbColor rgb="FF1E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22.05" hidden="false" customHeight="false" outlineLevel="0" collapsed="false">
      <c r="A1" s="1" t="s">
        <v>0</v>
      </c>
    </row>
    <row r="3" customFormat="false" ht="30" hidden="false" customHeight="true" outlineLevel="0" collapsed="false">
      <c r="A3" s="2"/>
      <c r="B3" s="3"/>
    </row>
    <row r="4" customFormat="false" ht="30" hidden="false" customHeight="true" outlineLevel="0" collapsed="false">
      <c r="A4" s="4" t="s">
        <v>1</v>
      </c>
      <c r="B4" s="5" t="s">
        <v>2</v>
      </c>
    </row>
    <row r="5" customFormat="false" ht="30" hidden="false" customHeight="true" outlineLevel="0" collapsed="false">
      <c r="A5" s="2" t="s">
        <v>3</v>
      </c>
      <c r="B5" s="3" t="s">
        <v>4</v>
      </c>
    </row>
    <row r="6" customFormat="false" ht="30" hidden="false" customHeight="true" outlineLevel="0" collapsed="false">
      <c r="A6" s="2" t="s">
        <v>5</v>
      </c>
      <c r="B6" s="3" t="s">
        <v>6</v>
      </c>
    </row>
    <row r="7" customFormat="false" ht="30" hidden="false" customHeight="true" outlineLevel="0" collapsed="false">
      <c r="A7" s="2" t="s">
        <v>7</v>
      </c>
      <c r="B7" s="3" t="s">
        <v>8</v>
      </c>
    </row>
    <row r="8" customFormat="false" ht="30" hidden="false" customHeight="true" outlineLevel="0" collapsed="false">
      <c r="A8" s="2" t="s">
        <v>9</v>
      </c>
      <c r="B8" s="3" t="s">
        <v>10</v>
      </c>
    </row>
    <row r="9" customFormat="false" ht="30" hidden="false" customHeight="true" outlineLevel="0" collapsed="false">
      <c r="A9" s="2"/>
      <c r="B9" s="3"/>
    </row>
    <row r="10" customFormat="false" ht="30" hidden="false" customHeight="true" outlineLevel="0" collapsed="false">
      <c r="A10" s="2" t="s">
        <v>11</v>
      </c>
      <c r="B10" s="3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50"/>
    <col collapsed="false" customWidth="true" hidden="false" outlineLevel="0" max="6" min="6" style="0" width="16"/>
    <col collapsed="false" customWidth="true" hidden="false" outlineLevel="0" max="7" min="7" style="0" width="35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6" t="s">
        <v>13</v>
      </c>
      <c r="B1" s="6" t="s">
        <v>14</v>
      </c>
      <c r="C1" s="6" t="s">
        <v>15</v>
      </c>
      <c r="D1" s="6" t="s">
        <v>16</v>
      </c>
      <c r="E1" s="6" t="s">
        <v>17</v>
      </c>
      <c r="F1" s="6" t="s">
        <v>18</v>
      </c>
      <c r="G1" s="6" t="s">
        <v>19</v>
      </c>
      <c r="H1" s="6" t="s">
        <v>20</v>
      </c>
      <c r="I1" s="6" t="s">
        <v>21</v>
      </c>
      <c r="J1" s="6" t="s">
        <v>22</v>
      </c>
    </row>
    <row r="2" customFormat="false" ht="49.5" hidden="false" customHeight="true" outlineLevel="0" collapsed="false">
      <c r="A2" s="7" t="n">
        <v>1</v>
      </c>
      <c r="B2" s="7" t="s">
        <v>23</v>
      </c>
      <c r="C2" s="7" t="s">
        <v>24</v>
      </c>
      <c r="D2" s="7" t="s">
        <v>25</v>
      </c>
      <c r="E2" s="7" t="s">
        <v>26</v>
      </c>
      <c r="F2" s="7" t="s">
        <v>27</v>
      </c>
      <c r="G2" s="7" t="s">
        <v>28</v>
      </c>
      <c r="H2" s="8" t="n">
        <v>0</v>
      </c>
      <c r="I2" s="8" t="n">
        <v>0</v>
      </c>
      <c r="J2" s="8"/>
    </row>
    <row r="3" customFormat="false" ht="49.5" hidden="false" customHeight="true" outlineLevel="0" collapsed="false">
      <c r="A3" s="9" t="n">
        <v>2</v>
      </c>
      <c r="B3" s="9" t="s">
        <v>23</v>
      </c>
      <c r="C3" s="9" t="s">
        <v>24</v>
      </c>
      <c r="D3" s="9" t="s">
        <v>29</v>
      </c>
      <c r="E3" s="9" t="s">
        <v>30</v>
      </c>
      <c r="F3" s="9" t="s">
        <v>31</v>
      </c>
      <c r="G3" s="9" t="s">
        <v>32</v>
      </c>
      <c r="H3" s="0" t="n">
        <v>0</v>
      </c>
      <c r="I3" s="0" t="n">
        <v>0</v>
      </c>
    </row>
    <row r="4" customFormat="false" ht="49.5" hidden="false" customHeight="true" outlineLevel="0" collapsed="false">
      <c r="A4" s="7" t="n">
        <v>3</v>
      </c>
      <c r="B4" s="7" t="s">
        <v>33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38</v>
      </c>
      <c r="H4" s="8" t="n">
        <v>0</v>
      </c>
      <c r="I4" s="8" t="n">
        <v>0</v>
      </c>
      <c r="J4" s="8"/>
    </row>
    <row r="5" customFormat="false" ht="49.5" hidden="false" customHeight="true" outlineLevel="0" collapsed="false">
      <c r="A5" s="9" t="n">
        <v>4</v>
      </c>
      <c r="B5" s="9" t="s">
        <v>33</v>
      </c>
      <c r="C5" s="9" t="s">
        <v>34</v>
      </c>
      <c r="D5" s="9" t="s">
        <v>39</v>
      </c>
      <c r="E5" s="9" t="s">
        <v>40</v>
      </c>
      <c r="F5" s="9" t="s">
        <v>41</v>
      </c>
      <c r="G5" s="9" t="s">
        <v>42</v>
      </c>
      <c r="H5" s="0" t="n">
        <v>0</v>
      </c>
      <c r="I5" s="0" t="n">
        <v>0</v>
      </c>
    </row>
    <row r="6" customFormat="false" ht="49.5" hidden="false" customHeight="true" outlineLevel="0" collapsed="false">
      <c r="A6" s="7" t="n">
        <v>5</v>
      </c>
      <c r="B6" s="7" t="s">
        <v>43</v>
      </c>
      <c r="C6" s="7" t="s">
        <v>44</v>
      </c>
      <c r="D6" s="7" t="s">
        <v>45</v>
      </c>
      <c r="E6" s="7" t="s">
        <v>46</v>
      </c>
      <c r="F6" s="7" t="s">
        <v>47</v>
      </c>
      <c r="G6" s="7" t="s">
        <v>48</v>
      </c>
      <c r="H6" s="8" t="n">
        <v>0</v>
      </c>
      <c r="I6" s="8" t="n">
        <v>0</v>
      </c>
      <c r="J6" s="8"/>
    </row>
    <row r="7" customFormat="false" ht="49.5" hidden="false" customHeight="true" outlineLevel="0" collapsed="false">
      <c r="A7" s="9" t="n">
        <v>6</v>
      </c>
      <c r="B7" s="9" t="s">
        <v>43</v>
      </c>
      <c r="C7" s="9" t="s">
        <v>44</v>
      </c>
      <c r="D7" s="9" t="s">
        <v>49</v>
      </c>
      <c r="E7" s="9" t="s">
        <v>50</v>
      </c>
      <c r="F7" s="9" t="s">
        <v>51</v>
      </c>
      <c r="G7" s="9" t="s">
        <v>52</v>
      </c>
      <c r="H7" s="0" t="n">
        <v>0</v>
      </c>
      <c r="I7" s="0" t="n">
        <v>0</v>
      </c>
    </row>
    <row r="8" customFormat="false" ht="49.5" hidden="false" customHeight="true" outlineLevel="0" collapsed="false">
      <c r="A8" s="7" t="n">
        <v>7</v>
      </c>
      <c r="B8" s="7" t="s">
        <v>53</v>
      </c>
      <c r="C8" s="7" t="s">
        <v>53</v>
      </c>
      <c r="D8" s="7" t="s">
        <v>54</v>
      </c>
      <c r="E8" s="7" t="s">
        <v>55</v>
      </c>
      <c r="F8" s="7" t="s">
        <v>27</v>
      </c>
      <c r="G8" s="7" t="s">
        <v>56</v>
      </c>
      <c r="H8" s="8" t="n">
        <v>0</v>
      </c>
      <c r="I8" s="8" t="n">
        <v>0</v>
      </c>
      <c r="J8" s="8"/>
    </row>
    <row r="9" customFormat="false" ht="49.5" hidden="false" customHeight="true" outlineLevel="0" collapsed="false">
      <c r="A9" s="9" t="n">
        <v>8</v>
      </c>
      <c r="B9" s="9" t="s">
        <v>53</v>
      </c>
      <c r="C9" s="9" t="s">
        <v>53</v>
      </c>
      <c r="D9" s="9" t="s">
        <v>57</v>
      </c>
      <c r="E9" s="9" t="s">
        <v>58</v>
      </c>
      <c r="F9" s="9" t="s">
        <v>37</v>
      </c>
      <c r="G9" s="9" t="s">
        <v>59</v>
      </c>
      <c r="H9" s="0" t="n">
        <v>0</v>
      </c>
      <c r="I9" s="0" t="n">
        <v>0</v>
      </c>
    </row>
    <row r="10" customFormat="false" ht="49.5" hidden="false" customHeight="true" outlineLevel="0" collapsed="false">
      <c r="A10" s="7" t="n">
        <v>9</v>
      </c>
      <c r="B10" s="7" t="s">
        <v>60</v>
      </c>
      <c r="C10" s="7" t="s">
        <v>61</v>
      </c>
      <c r="D10" s="7" t="s">
        <v>62</v>
      </c>
      <c r="E10" s="7" t="s">
        <v>63</v>
      </c>
      <c r="F10" s="7" t="s">
        <v>64</v>
      </c>
      <c r="G10" s="7" t="s">
        <v>65</v>
      </c>
      <c r="H10" s="8" t="n">
        <v>0</v>
      </c>
      <c r="I10" s="8" t="n">
        <v>0</v>
      </c>
      <c r="J10" s="8"/>
    </row>
    <row r="11" customFormat="false" ht="49.5" hidden="false" customHeight="true" outlineLevel="0" collapsed="false">
      <c r="A11" s="9" t="n">
        <v>10</v>
      </c>
      <c r="B11" s="9" t="s">
        <v>60</v>
      </c>
      <c r="C11" s="9" t="s">
        <v>61</v>
      </c>
      <c r="D11" s="9" t="s">
        <v>66</v>
      </c>
      <c r="E11" s="9" t="s">
        <v>67</v>
      </c>
      <c r="F11" s="9" t="s">
        <v>68</v>
      </c>
      <c r="G11" s="9" t="s">
        <v>69</v>
      </c>
      <c r="H11" s="0" t="n">
        <v>0</v>
      </c>
      <c r="I11" s="0" t="n">
        <v>0</v>
      </c>
    </row>
    <row r="12" customFormat="false" ht="49.5" hidden="false" customHeight="true" outlineLevel="0" collapsed="false">
      <c r="A12" s="7" t="n">
        <v>11</v>
      </c>
      <c r="B12" s="7" t="s">
        <v>70</v>
      </c>
      <c r="C12" s="7" t="s">
        <v>71</v>
      </c>
      <c r="D12" s="7" t="s">
        <v>72</v>
      </c>
      <c r="E12" s="7" t="s">
        <v>73</v>
      </c>
      <c r="F12" s="7" t="s">
        <v>74</v>
      </c>
      <c r="G12" s="7" t="s">
        <v>75</v>
      </c>
      <c r="H12" s="8" t="n">
        <v>0</v>
      </c>
      <c r="I12" s="8" t="n">
        <v>0</v>
      </c>
      <c r="J12" s="8"/>
    </row>
    <row r="13" customFormat="false" ht="49.5" hidden="false" customHeight="true" outlineLevel="0" collapsed="false">
      <c r="A13" s="9" t="n">
        <v>12</v>
      </c>
      <c r="B13" s="9" t="s">
        <v>70</v>
      </c>
      <c r="C13" s="9" t="s">
        <v>71</v>
      </c>
      <c r="D13" s="9" t="s">
        <v>76</v>
      </c>
      <c r="E13" s="9" t="s">
        <v>77</v>
      </c>
      <c r="F13" s="9" t="s">
        <v>27</v>
      </c>
      <c r="G13" s="9" t="s">
        <v>78</v>
      </c>
      <c r="H13" s="0" t="n">
        <v>0</v>
      </c>
      <c r="I13" s="0" t="n">
        <v>0</v>
      </c>
    </row>
    <row r="14" customFormat="false" ht="49.5" hidden="false" customHeight="true" outlineLevel="0" collapsed="false">
      <c r="A14" s="7" t="n">
        <v>13</v>
      </c>
      <c r="B14" s="7" t="s">
        <v>79</v>
      </c>
      <c r="C14" s="7" t="s">
        <v>80</v>
      </c>
      <c r="D14" s="7" t="s">
        <v>81</v>
      </c>
      <c r="E14" s="7" t="s">
        <v>82</v>
      </c>
      <c r="F14" s="7" t="s">
        <v>83</v>
      </c>
      <c r="G14" s="7" t="s">
        <v>84</v>
      </c>
      <c r="H14" s="8" t="n">
        <v>0</v>
      </c>
      <c r="I14" s="8" t="n">
        <v>0</v>
      </c>
      <c r="J14" s="8"/>
    </row>
    <row r="15" customFormat="false" ht="49.5" hidden="false" customHeight="true" outlineLevel="0" collapsed="false">
      <c r="A15" s="9" t="n">
        <v>14</v>
      </c>
      <c r="B15" s="9" t="s">
        <v>79</v>
      </c>
      <c r="C15" s="9" t="s">
        <v>80</v>
      </c>
      <c r="D15" s="9" t="s">
        <v>85</v>
      </c>
      <c r="E15" s="9" t="s">
        <v>86</v>
      </c>
      <c r="F15" s="9" t="s">
        <v>74</v>
      </c>
      <c r="G15" s="9" t="s">
        <v>87</v>
      </c>
      <c r="H15" s="0" t="n">
        <v>0</v>
      </c>
      <c r="I15" s="0" t="n">
        <v>0</v>
      </c>
    </row>
  </sheetData>
  <conditionalFormatting sqref="H2:H15">
    <cfRule type="cellIs" priority="2" operator="equal" aboveAverage="0" equalAverage="0" bottom="0" percent="0" rank="0" text="" dxfId="0">
      <formula>1</formula>
    </cfRule>
    <cfRule type="cellIs" priority="3" operator="equal" aboveAverage="0" equalAverage="0" bottom="0" percent="0" rank="0" text="" dxfId="1">
      <formula>2</formula>
    </cfRule>
    <cfRule type="cellIs" priority="4" operator="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0" t="s">
        <v>88</v>
      </c>
      <c r="B1" s="10"/>
      <c r="C1" s="10"/>
    </row>
    <row r="3" customFormat="false" ht="15" hidden="false" customHeight="false" outlineLevel="0" collapsed="false">
      <c r="A3" s="11" t="s">
        <v>89</v>
      </c>
      <c r="B3" s="2" t="n">
        <f aca="false">COUNTA(Flashcards!A2:A15)</f>
        <v>14</v>
      </c>
    </row>
    <row r="4" customFormat="false" ht="15" hidden="false" customHeight="false" outlineLevel="0" collapsed="false">
      <c r="A4" s="11" t="s">
        <v>90</v>
      </c>
      <c r="B4" s="2" t="n">
        <f aca="false">COUNTIF(Flashcards!H2:H15,1)</f>
        <v>0</v>
      </c>
    </row>
    <row r="5" customFormat="false" ht="15" hidden="false" customHeight="false" outlineLevel="0" collapsed="false">
      <c r="A5" s="11" t="s">
        <v>91</v>
      </c>
      <c r="B5" s="2" t="n">
        <f aca="false">COUNTIF(Flashcards!H2:H15,2)</f>
        <v>0</v>
      </c>
    </row>
    <row r="6" customFormat="false" ht="15" hidden="false" customHeight="false" outlineLevel="0" collapsed="false">
      <c r="A6" s="11" t="s">
        <v>92</v>
      </c>
      <c r="B6" s="2" t="n">
        <f aca="false">COUNTIF(Flashcards!H2:H15,0)</f>
        <v>14</v>
      </c>
    </row>
    <row r="7" customFormat="false" ht="15" hidden="false" customHeight="false" outlineLevel="0" collapsed="false">
      <c r="A7" s="11" t="s">
        <v>93</v>
      </c>
      <c r="B7" s="12" t="n">
        <f aca="false">COUNTIF(Flashcards!H2:H15,1)/COUNTA(Flashcards!A2:A15)</f>
        <v>0</v>
      </c>
    </row>
    <row r="8" customFormat="false" ht="15" hidden="false" customHeight="false" outlineLevel="0" collapsed="false">
      <c r="A8" s="11" t="s">
        <v>94</v>
      </c>
      <c r="B8" s="2" t="n">
        <f aca="false">SUM(Flashcards!I2:I15)</f>
        <v>0</v>
      </c>
    </row>
    <row r="11" customFormat="false" ht="17.35" hidden="false" customHeight="false" outlineLevel="0" collapsed="false">
      <c r="A11" s="13" t="s">
        <v>95</v>
      </c>
    </row>
    <row r="12" customFormat="false" ht="15" hidden="false" customHeight="false" outlineLevel="0" collapsed="false">
      <c r="A12" s="14" t="s">
        <v>14</v>
      </c>
      <c r="B12" s="14" t="s">
        <v>96</v>
      </c>
      <c r="C12" s="14" t="s">
        <v>97</v>
      </c>
      <c r="D12" s="14" t="s">
        <v>98</v>
      </c>
    </row>
    <row r="13" customFormat="false" ht="15" hidden="false" customHeight="false" outlineLevel="0" collapsed="false">
      <c r="A13" s="15" t="s">
        <v>23</v>
      </c>
      <c r="B13" s="15" t="n">
        <f aca="false">COUNTIF(Flashcards!B2:B15,"Nume")</f>
        <v>2</v>
      </c>
      <c r="C13" s="15" t="n">
        <f aca="false">COUNTIFS(Flashcards!B2:B15,"Nume",Flashcards!H2:H15,1)</f>
        <v>0</v>
      </c>
      <c r="D13" s="16" t="n">
        <f aca="false">IF(B13=0,0,C13/B13)</f>
        <v>0</v>
      </c>
    </row>
    <row r="14" customFormat="false" ht="15" hidden="false" customHeight="false" outlineLevel="0" collapsed="false">
      <c r="A14" s="15" t="s">
        <v>33</v>
      </c>
      <c r="B14" s="15" t="n">
        <f aca="false">COUNTIF(Flashcards!B2:B15,"Documente")</f>
        <v>2</v>
      </c>
      <c r="C14" s="15" t="n">
        <f aca="false">COUNTIFS(Flashcards!B2:B15,"Documente",Flashcards!H2:H15,1)</f>
        <v>0</v>
      </c>
      <c r="D14" s="16" t="n">
        <f aca="false">IF(B14=0,0,C14/B14)</f>
        <v>0</v>
      </c>
    </row>
    <row r="15" customFormat="false" ht="15" hidden="false" customHeight="false" outlineLevel="0" collapsed="false">
      <c r="A15" s="15" t="s">
        <v>43</v>
      </c>
      <c r="B15" s="15" t="n">
        <f aca="false">COUNTIF(Flashcards!B2:B15,"Persoana")</f>
        <v>2</v>
      </c>
      <c r="C15" s="15" t="n">
        <f aca="false">COUNTIFS(Flashcards!B2:B15,"Persoana",Flashcards!H2:H15,1)</f>
        <v>0</v>
      </c>
      <c r="D15" s="16" t="n">
        <f aca="false">IF(B15=0,0,C15/B15)</f>
        <v>0</v>
      </c>
    </row>
    <row r="16" customFormat="false" ht="15" hidden="false" customHeight="false" outlineLevel="0" collapsed="false">
      <c r="A16" s="15" t="s">
        <v>53</v>
      </c>
      <c r="B16" s="15" t="n">
        <f aca="false">COUNTIF(Flashcards!B2:B15,"Familie")</f>
        <v>2</v>
      </c>
      <c r="C16" s="15" t="n">
        <f aca="false">COUNTIFS(Flashcards!B2:B15,"Familie",Flashcards!H2:H15,1)</f>
        <v>0</v>
      </c>
      <c r="D16" s="16" t="n">
        <f aca="false">IF(B16=0,0,C16/B16)</f>
        <v>0</v>
      </c>
    </row>
    <row r="17" customFormat="false" ht="15" hidden="false" customHeight="false" outlineLevel="0" collapsed="false">
      <c r="A17" s="15" t="s">
        <v>60</v>
      </c>
      <c r="B17" s="15" t="n">
        <f aca="false">COUNTIF(Flashcards!B2:B15,"Rude")</f>
        <v>2</v>
      </c>
      <c r="C17" s="15" t="n">
        <f aca="false">COUNTIFS(Flashcards!B2:B15,"Rude",Flashcards!H2:H15,1)</f>
        <v>0</v>
      </c>
      <c r="D17" s="16" t="n">
        <f aca="false">IF(B17=0,0,C17/B17)</f>
        <v>0</v>
      </c>
    </row>
    <row r="18" customFormat="false" ht="15" hidden="false" customHeight="false" outlineLevel="0" collapsed="false">
      <c r="A18" s="15" t="s">
        <v>70</v>
      </c>
      <c r="B18" s="15" t="n">
        <f aca="false">COUNTIF(Flashcards!B2:B15,"Aspect")</f>
        <v>2</v>
      </c>
      <c r="C18" s="15" t="n">
        <f aca="false">COUNTIFS(Flashcards!B2:B15,"Aspect",Flashcards!H2:H15,1)</f>
        <v>0</v>
      </c>
      <c r="D18" s="16" t="n">
        <f aca="false">IF(B18=0,0,C18/B18)</f>
        <v>0</v>
      </c>
    </row>
    <row r="19" customFormat="false" ht="15" hidden="false" customHeight="false" outlineLevel="0" collapsed="false">
      <c r="A19" s="15" t="s">
        <v>79</v>
      </c>
      <c r="B19" s="15" t="n">
        <f aca="false">COUNTIF(Flashcards!B2:B15,"Caracter")</f>
        <v>2</v>
      </c>
      <c r="C19" s="15" t="n">
        <f aca="false">COUNTIFS(Flashcards!B2:B15,"Caracter",Flashcards!H2:H15,1)</f>
        <v>0</v>
      </c>
      <c r="D19" s="16" t="n">
        <f aca="false">IF(B19=0,0,C19/B19)</f>
        <v>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7" t="s">
        <v>99</v>
      </c>
      <c r="B1" s="17"/>
      <c r="C1" s="17"/>
      <c r="D1" s="17"/>
    </row>
    <row r="3" customFormat="false" ht="15" hidden="false" customHeight="false" outlineLevel="0" collapsed="false">
      <c r="A3" s="18" t="s">
        <v>100</v>
      </c>
      <c r="B3" s="18" t="s">
        <v>101</v>
      </c>
      <c r="C3" s="18" t="s">
        <v>102</v>
      </c>
      <c r="D3" s="18" t="s">
        <v>103</v>
      </c>
    </row>
    <row r="4" customFormat="false" ht="34.5" hidden="false" customHeight="true" outlineLevel="0" collapsed="false">
      <c r="A4" s="7" t="s">
        <v>27</v>
      </c>
      <c r="B4" s="7" t="s">
        <v>104</v>
      </c>
      <c r="C4" s="7" t="s">
        <v>105</v>
      </c>
      <c r="D4" s="7" t="s">
        <v>106</v>
      </c>
    </row>
    <row r="5" customFormat="false" ht="34.5" hidden="false" customHeight="true" outlineLevel="0" collapsed="false">
      <c r="A5" s="9" t="s">
        <v>37</v>
      </c>
      <c r="B5" s="9" t="s">
        <v>107</v>
      </c>
      <c r="C5" s="9" t="s">
        <v>108</v>
      </c>
      <c r="D5" s="9" t="s">
        <v>109</v>
      </c>
    </row>
    <row r="6" customFormat="false" ht="34.5" hidden="false" customHeight="true" outlineLevel="0" collapsed="false">
      <c r="A6" s="7" t="s">
        <v>41</v>
      </c>
      <c r="B6" s="7" t="s">
        <v>110</v>
      </c>
      <c r="C6" s="7" t="s">
        <v>111</v>
      </c>
      <c r="D6" s="7" t="s">
        <v>112</v>
      </c>
    </row>
    <row r="7" customFormat="false" ht="34.5" hidden="false" customHeight="true" outlineLevel="0" collapsed="false">
      <c r="A7" s="9" t="s">
        <v>83</v>
      </c>
      <c r="B7" s="9" t="s">
        <v>113</v>
      </c>
      <c r="C7" s="9" t="s">
        <v>114</v>
      </c>
      <c r="D7" s="9" t="s">
        <v>115</v>
      </c>
    </row>
    <row r="8" customFormat="false" ht="34.5" hidden="false" customHeight="true" outlineLevel="0" collapsed="false">
      <c r="A8" s="7" t="s">
        <v>116</v>
      </c>
      <c r="B8" s="7" t="s">
        <v>117</v>
      </c>
      <c r="C8" s="7" t="s">
        <v>118</v>
      </c>
      <c r="D8" s="7" t="s">
        <v>119</v>
      </c>
    </row>
    <row r="9" customFormat="false" ht="34.5" hidden="false" customHeight="true" outlineLevel="0" collapsed="false">
      <c r="A9" s="9" t="s">
        <v>120</v>
      </c>
      <c r="B9" s="9" t="s">
        <v>121</v>
      </c>
      <c r="C9" s="9" t="s">
        <v>118</v>
      </c>
      <c r="D9" s="9" t="s">
        <v>122</v>
      </c>
    </row>
    <row r="10" customFormat="false" ht="34.5" hidden="false" customHeight="true" outlineLevel="0" collapsed="false">
      <c r="A10" s="7" t="s">
        <v>123</v>
      </c>
      <c r="B10" s="7" t="s">
        <v>124</v>
      </c>
      <c r="C10" s="7" t="s">
        <v>118</v>
      </c>
      <c r="D10" s="7" t="s">
        <v>125</v>
      </c>
    </row>
    <row r="11" customFormat="false" ht="34.5" hidden="false" customHeight="true" outlineLevel="0" collapsed="false">
      <c r="A11" s="9" t="s">
        <v>64</v>
      </c>
      <c r="B11" s="9" t="s">
        <v>126</v>
      </c>
      <c r="C11" s="9" t="s">
        <v>127</v>
      </c>
      <c r="D11" s="9" t="s">
        <v>128</v>
      </c>
    </row>
    <row r="12" customFormat="false" ht="34.5" hidden="false" customHeight="true" outlineLevel="0" collapsed="false">
      <c r="A12" s="7" t="s">
        <v>129</v>
      </c>
      <c r="B12" s="7" t="s">
        <v>130</v>
      </c>
      <c r="C12" s="7" t="s">
        <v>131</v>
      </c>
      <c r="D12" s="7" t="s">
        <v>132</v>
      </c>
    </row>
    <row r="13" customFormat="false" ht="34.5" hidden="false" customHeight="true" outlineLevel="0" collapsed="false">
      <c r="A13" s="9" t="s">
        <v>133</v>
      </c>
      <c r="B13" s="9" t="s">
        <v>134</v>
      </c>
      <c r="C13" s="9" t="s">
        <v>135</v>
      </c>
      <c r="D13" s="9" t="s">
        <v>136</v>
      </c>
    </row>
    <row r="16" customFormat="false" ht="49.5" hidden="false" customHeight="true" outlineLevel="0" collapsed="false">
      <c r="A16" s="19" t="s">
        <v>137</v>
      </c>
      <c r="B16" s="20" t="s">
        <v>138</v>
      </c>
      <c r="C16" s="20"/>
      <c r="D16" s="20"/>
    </row>
  </sheetData>
  <mergeCells count="2">
    <mergeCell ref="A1:D1"/>
    <mergeCell ref="B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7" t="s">
        <v>139</v>
      </c>
      <c r="B1" s="17"/>
      <c r="C1" s="17"/>
    </row>
    <row r="3" customFormat="false" ht="15" hidden="false" customHeight="false" outlineLevel="0" collapsed="false">
      <c r="A3" s="14" t="s">
        <v>140</v>
      </c>
      <c r="B3" s="14" t="s">
        <v>141</v>
      </c>
      <c r="C3" s="14" t="s">
        <v>142</v>
      </c>
    </row>
    <row r="4" customFormat="false" ht="30" hidden="false" customHeight="true" outlineLevel="0" collapsed="false">
      <c r="A4" s="7" t="s">
        <v>143</v>
      </c>
      <c r="B4" s="7" t="s">
        <v>144</v>
      </c>
      <c r="C4" s="7" t="s">
        <v>145</v>
      </c>
    </row>
    <row r="5" customFormat="false" ht="30" hidden="false" customHeight="true" outlineLevel="0" collapsed="false">
      <c r="A5" s="9" t="s">
        <v>146</v>
      </c>
      <c r="B5" s="9" t="s">
        <v>147</v>
      </c>
      <c r="C5" s="9" t="s">
        <v>148</v>
      </c>
    </row>
    <row r="6" customFormat="false" ht="30" hidden="false" customHeight="true" outlineLevel="0" collapsed="false">
      <c r="A6" s="7" t="s">
        <v>149</v>
      </c>
      <c r="B6" s="7" t="s">
        <v>150</v>
      </c>
      <c r="C6" s="7" t="s">
        <v>151</v>
      </c>
    </row>
    <row r="7" customFormat="false" ht="30" hidden="false" customHeight="true" outlineLevel="0" collapsed="false">
      <c r="A7" s="9" t="s">
        <v>152</v>
      </c>
      <c r="B7" s="9" t="s">
        <v>153</v>
      </c>
      <c r="C7" s="9" t="s">
        <v>154</v>
      </c>
    </row>
    <row r="8" customFormat="false" ht="30" hidden="false" customHeight="true" outlineLevel="0" collapsed="false">
      <c r="A8" s="7" t="s">
        <v>155</v>
      </c>
      <c r="B8" s="7" t="s">
        <v>156</v>
      </c>
      <c r="C8" s="7" t="s">
        <v>157</v>
      </c>
    </row>
    <row r="9" customFormat="false" ht="30" hidden="false" customHeight="true" outlineLevel="0" collapsed="false">
      <c r="A9" s="9" t="s">
        <v>158</v>
      </c>
      <c r="B9" s="9" t="s">
        <v>159</v>
      </c>
      <c r="C9" s="9" t="s">
        <v>160</v>
      </c>
    </row>
    <row r="10" customFormat="false" ht="30" hidden="false" customHeight="true" outlineLevel="0" collapsed="false">
      <c r="A10" s="7" t="s">
        <v>161</v>
      </c>
      <c r="B10" s="7" t="s">
        <v>162</v>
      </c>
      <c r="C10" s="7" t="s">
        <v>163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2026-05-06T14:21:57Z</dcterms:created>
  <dc:creator>openpyxl</dc:creator>
  <dc:description/>
  <dc:language>en-US</dc:language>
  <cp:lastModifiedBy/>
  <dcterms:modified xsi:type="dcterms:W3CDTF">2026-05-06T14:21:57Z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